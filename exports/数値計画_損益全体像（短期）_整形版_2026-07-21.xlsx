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損益全体像（短期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#,##0%;[Red](#,##0%);&quot;-&quot;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165" fontId="6" fillId="0" borderId="1" pivotButton="0" quotePrefix="0" xfId="0"/>
    <xf numFmtId="165" fontId="6" fillId="0" borderId="1" applyAlignment="1" pivotButton="0" quotePrefix="0" xfId="0">
      <alignment horizontal="right"/>
    </xf>
    <xf numFmtId="3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売上高（内訳）と経常利益の推移（百万円）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'損益全体像（短期）'!A7</f>
            </strRef>
          </tx>
          <spPr>
            <a:ln>
              <a:prstDash val="solid"/>
            </a:ln>
          </spPr>
          <cat>
            <numRef>
              <f>'損益全体像（短期）'!$B$4:$J$4</f>
            </numRef>
          </cat>
          <val>
            <numRef>
              <f>'損益全体像（短期）'!$B$7:$J$7</f>
            </numRef>
          </val>
        </ser>
        <ser>
          <idx val="1"/>
          <order val="1"/>
          <tx>
            <strRef>
              <f>'損益全体像（短期）'!A8</f>
            </strRef>
          </tx>
          <spPr>
            <a:ln>
              <a:prstDash val="solid"/>
            </a:ln>
          </spPr>
          <cat>
            <numRef>
              <f>'損益全体像（短期）'!$B$4:$J$4</f>
            </numRef>
          </cat>
          <val>
            <numRef>
              <f>'損益全体像（短期）'!$B$8:$J$8</f>
            </numRef>
          </val>
        </ser>
        <ser>
          <idx val="2"/>
          <order val="2"/>
          <tx>
            <strRef>
              <f>'損益全体像（短期）'!A9</f>
            </strRef>
          </tx>
          <spPr>
            <a:ln>
              <a:prstDash val="solid"/>
            </a:ln>
          </spPr>
          <cat>
            <numRef>
              <f>'損益全体像（短期）'!$B$4:$J$4</f>
            </numRef>
          </cat>
          <val>
            <numRef>
              <f>'損益全体像（短期）'!$B$9:$J$9</f>
            </numRef>
          </val>
        </ser>
        <gapWidth val="150"/>
        <overlap val="100"/>
        <axId val="10"/>
        <axId val="100"/>
      </barChart>
      <lineChart>
        <grouping val="standard"/>
        <ser>
          <idx val="3"/>
          <order val="3"/>
          <tx>
            <strRef>
              <f>'損益全体像（短期）'!A17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'損益全体像（短期）'!$B$4:$J$4</f>
            </numRef>
          </cat>
          <val>
            <numRef>
              <f>'損益全体像（短期）'!$B$17:$J$17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キャッシュフローの推移（百万円）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'損益全体像（短期）'!A20</f>
            </strRef>
          </tx>
          <spPr>
            <a:ln>
              <a:prstDash val="solid"/>
            </a:ln>
          </spPr>
          <cat>
            <numRef>
              <f>'損益全体像（短期）'!$B$4:$J$4</f>
            </numRef>
          </cat>
          <val>
            <numRef>
              <f>'損益全体像（短期）'!$B$20:$J$20</f>
            </numRef>
          </val>
        </ser>
        <ser>
          <idx val="1"/>
          <order val="1"/>
          <tx>
            <strRef>
              <f>'損益全体像（短期）'!A21</f>
            </strRef>
          </tx>
          <spPr>
            <a:ln>
              <a:prstDash val="solid"/>
            </a:ln>
          </spPr>
          <cat>
            <numRef>
              <f>'損益全体像（短期）'!$B$4:$J$4</f>
            </numRef>
          </cat>
          <val>
            <numRef>
              <f>'損益全体像（短期）'!$B$21:$J$21</f>
            </numRef>
          </val>
        </ser>
        <ser>
          <idx val="2"/>
          <order val="2"/>
          <tx>
            <strRef>
              <f>'損益全体像（短期）'!A22</f>
            </strRef>
          </tx>
          <spPr>
            <a:ln>
              <a:prstDash val="solid"/>
            </a:ln>
          </spPr>
          <cat>
            <numRef>
              <f>'損益全体像（短期）'!$B$4:$J$4</f>
            </numRef>
          </cat>
          <val>
            <numRef>
              <f>'損益全体像（短期）'!$B$22:$J$22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50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損益全体像（短期）　2023/5期～2031/5期</t>
        </is>
      </c>
    </row>
    <row r="2">
      <c r="A2" s="2" t="inlineStr">
        <is>
          <t>単位：百万円（累計予約台数・累計販売台数は台、売上高経常利益率は％）</t>
        </is>
      </c>
    </row>
    <row r="4">
      <c r="A4" s="3" t="inlineStr">
        <is>
          <t>項目</t>
        </is>
      </c>
      <c r="B4" s="4" t="inlineStr">
        <is>
          <t>2023/5期</t>
        </is>
      </c>
      <c r="C4" s="4" t="inlineStr">
        <is>
          <t>2024/5期</t>
        </is>
      </c>
      <c r="D4" s="4" t="inlineStr">
        <is>
          <t>2025/5期</t>
        </is>
      </c>
      <c r="E4" s="4" t="inlineStr">
        <is>
          <t>2026/5期</t>
        </is>
      </c>
      <c r="F4" s="4" t="inlineStr">
        <is>
          <t>2027/5期</t>
        </is>
      </c>
      <c r="G4" s="4" t="inlineStr">
        <is>
          <t>2028/5期</t>
        </is>
      </c>
      <c r="H4" s="4" t="inlineStr">
        <is>
          <t>2029/5期</t>
        </is>
      </c>
      <c r="I4" s="4" t="inlineStr">
        <is>
          <t>2030/5期</t>
        </is>
      </c>
      <c r="J4" s="4" t="inlineStr">
        <is>
          <t>2031/5期</t>
        </is>
      </c>
    </row>
    <row r="5">
      <c r="A5" s="5" t="inlineStr">
        <is>
          <t>損益計算書（P/L）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売上高</t>
        </is>
      </c>
      <c r="B6" s="7" t="n">
        <v>4</v>
      </c>
      <c r="C6" s="7" t="n">
        <v>7</v>
      </c>
      <c r="D6" s="7" t="n">
        <v>1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1965</v>
      </c>
      <c r="J6" s="7" t="n">
        <v>7470</v>
      </c>
    </row>
    <row r="7">
      <c r="A7" s="8" t="inlineStr">
        <is>
          <t xml:space="preserve">　うち機体販売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1800</v>
      </c>
      <c r="J7" s="9" t="n">
        <v>6000</v>
      </c>
    </row>
    <row r="8">
      <c r="A8" s="8" t="inlineStr">
        <is>
          <t xml:space="preserve">　うちメンテナンス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165</v>
      </c>
      <c r="J8" s="9" t="n">
        <v>1470</v>
      </c>
    </row>
    <row r="9">
      <c r="A9" s="8" t="inlineStr">
        <is>
          <t xml:space="preserve">　うち移動サービス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</row>
    <row r="10">
      <c r="A10" s="8" t="inlineStr">
        <is>
          <t>売上原価</t>
        </is>
      </c>
      <c r="B10" s="9" t="n">
        <v>87</v>
      </c>
      <c r="C10" s="9" t="n">
        <v>175</v>
      </c>
      <c r="D10" s="9" t="n">
        <v>79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720</v>
      </c>
      <c r="J10" s="9" t="n">
        <v>2400</v>
      </c>
    </row>
    <row r="11">
      <c r="A11" s="8" t="inlineStr">
        <is>
          <t>人件費</t>
        </is>
      </c>
      <c r="B11" s="9" t="n">
        <v>112</v>
      </c>
      <c r="C11" s="9" t="n">
        <v>121</v>
      </c>
      <c r="D11" s="9" t="n">
        <v>114</v>
      </c>
      <c r="E11" s="9" t="n">
        <v>258</v>
      </c>
      <c r="F11" s="9" t="n">
        <v>519</v>
      </c>
      <c r="G11" s="9" t="n">
        <v>649</v>
      </c>
      <c r="H11" s="9" t="n">
        <v>757</v>
      </c>
      <c r="I11" s="9" t="n">
        <v>1010</v>
      </c>
      <c r="J11" s="9" t="n">
        <v>1270</v>
      </c>
    </row>
    <row r="12">
      <c r="A12" s="8" t="inlineStr">
        <is>
          <t>外注費</t>
        </is>
      </c>
      <c r="B12" s="9" t="n">
        <v>0</v>
      </c>
      <c r="C12" s="9" t="n">
        <v>3</v>
      </c>
      <c r="D12" s="9" t="n">
        <v>0</v>
      </c>
      <c r="E12" s="9" t="n">
        <v>43</v>
      </c>
      <c r="F12" s="9" t="n">
        <v>77</v>
      </c>
      <c r="G12" s="9" t="n">
        <v>126</v>
      </c>
      <c r="H12" s="9" t="n">
        <v>207</v>
      </c>
      <c r="I12" s="9" t="n">
        <v>339</v>
      </c>
      <c r="J12" s="9" t="n">
        <v>555</v>
      </c>
    </row>
    <row r="13">
      <c r="A13" s="8" t="inlineStr">
        <is>
          <t>地代家賃</t>
        </is>
      </c>
      <c r="B13" s="9" t="n">
        <v>26</v>
      </c>
      <c r="C13" s="9" t="n">
        <v>29</v>
      </c>
      <c r="D13" s="9" t="n">
        <v>17</v>
      </c>
      <c r="E13" s="9" t="n">
        <v>-9</v>
      </c>
      <c r="F13" s="9" t="n">
        <v>-16</v>
      </c>
      <c r="G13" s="9" t="n">
        <v>-28</v>
      </c>
      <c r="H13" s="9" t="n">
        <v>-39</v>
      </c>
      <c r="I13" s="9" t="n">
        <v>-43</v>
      </c>
      <c r="J13" s="9" t="n">
        <v>-49</v>
      </c>
    </row>
    <row r="14">
      <c r="A14" s="8" t="inlineStr">
        <is>
          <t>減価償却費</t>
        </is>
      </c>
      <c r="B14" s="9" t="n">
        <v>6</v>
      </c>
      <c r="C14" s="9" t="n">
        <v>0</v>
      </c>
      <c r="D14" s="9" t="n">
        <v>1</v>
      </c>
      <c r="E14" s="9" t="n">
        <v>0</v>
      </c>
      <c r="F14" s="9" t="n">
        <v>18</v>
      </c>
      <c r="G14" s="9" t="n">
        <v>50</v>
      </c>
      <c r="H14" s="9" t="n">
        <v>175</v>
      </c>
      <c r="I14" s="9" t="n">
        <v>456</v>
      </c>
      <c r="J14" s="9" t="n">
        <v>887</v>
      </c>
    </row>
    <row r="15">
      <c r="A15" s="8" t="inlineStr">
        <is>
          <t>研究開発費</t>
        </is>
      </c>
      <c r="B15" s="9" t="n">
        <v>0</v>
      </c>
      <c r="C15" s="9" t="n">
        <v>0</v>
      </c>
      <c r="D15" s="9" t="n">
        <v>150</v>
      </c>
      <c r="E15" s="9" t="n">
        <v>150</v>
      </c>
      <c r="F15" s="9" t="n">
        <v>200</v>
      </c>
      <c r="G15" s="9" t="n">
        <v>2500</v>
      </c>
      <c r="H15" s="9" t="n">
        <v>3000</v>
      </c>
      <c r="I15" s="9" t="n">
        <v>3500</v>
      </c>
      <c r="J15" s="9" t="n">
        <v>4000</v>
      </c>
    </row>
    <row r="16">
      <c r="A16" s="8" t="inlineStr">
        <is>
          <t>その他</t>
        </is>
      </c>
      <c r="B16" s="9" t="n">
        <v>46</v>
      </c>
      <c r="C16" s="9" t="n">
        <v>59</v>
      </c>
      <c r="D16" s="9" t="n">
        <v>108</v>
      </c>
      <c r="E16" s="9" t="n">
        <v>40</v>
      </c>
      <c r="F16" s="9" t="n">
        <v>54</v>
      </c>
      <c r="G16" s="9" t="n">
        <v>76</v>
      </c>
      <c r="H16" s="9" t="n">
        <v>90</v>
      </c>
      <c r="I16" s="9" t="n">
        <v>102</v>
      </c>
      <c r="J16" s="9" t="n">
        <v>115</v>
      </c>
    </row>
    <row r="17">
      <c r="A17" s="10" t="inlineStr">
        <is>
          <t>経常利益</t>
        </is>
      </c>
      <c r="B17" s="11" t="n">
        <v>-50</v>
      </c>
      <c r="C17" s="11" t="n">
        <v>-126</v>
      </c>
      <c r="D17" s="11" t="n">
        <v>-95</v>
      </c>
      <c r="E17" s="11" t="n">
        <v>-139</v>
      </c>
      <c r="F17" s="11" t="n">
        <v>-611</v>
      </c>
      <c r="G17" s="11" t="n">
        <v>89</v>
      </c>
      <c r="H17" s="11" t="n">
        <v>-4190</v>
      </c>
      <c r="I17" s="11" t="n">
        <v>-4118</v>
      </c>
      <c r="J17" s="11" t="n">
        <v>-1709</v>
      </c>
    </row>
    <row r="18">
      <c r="A18" s="8" t="inlineStr">
        <is>
          <t>売上高経常利益率</t>
        </is>
      </c>
      <c r="B18" s="12" t="n">
        <v>-11.9</v>
      </c>
      <c r="C18" s="12" t="n">
        <v>-19.14</v>
      </c>
      <c r="D18" s="12" t="n">
        <v>-182.43</v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2" t="n">
        <v>-2.1</v>
      </c>
      <c r="J18" s="12" t="n">
        <v>-0.23</v>
      </c>
    </row>
    <row r="19">
      <c r="A19" s="5" t="inlineStr">
        <is>
          <t>キャッシュフロー（C/F）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8" t="inlineStr">
        <is>
          <t>営業CF</t>
        </is>
      </c>
      <c r="B20" s="9" t="n">
        <v>-39</v>
      </c>
      <c r="C20" s="9" t="n">
        <v>-141</v>
      </c>
      <c r="D20" s="9" t="n">
        <v>-83</v>
      </c>
      <c r="E20" s="9" t="n">
        <v>-120</v>
      </c>
      <c r="F20" s="9" t="n">
        <v>-563</v>
      </c>
      <c r="G20" s="9" t="n">
        <v>-71</v>
      </c>
      <c r="H20" s="9" t="n">
        <v>-5007</v>
      </c>
      <c r="I20" s="9" t="n">
        <v>-5191</v>
      </c>
      <c r="J20" s="9" t="n">
        <v>-2599</v>
      </c>
    </row>
    <row r="21">
      <c r="A21" s="8" t="inlineStr">
        <is>
          <t>投資CF</t>
        </is>
      </c>
      <c r="B21" s="9" t="n">
        <v>0</v>
      </c>
      <c r="C21" s="9" t="n">
        <v>-79</v>
      </c>
      <c r="D21" s="9" t="n">
        <v>1</v>
      </c>
      <c r="E21" s="9" t="n">
        <v>-30</v>
      </c>
      <c r="F21" s="9" t="n">
        <v>-600</v>
      </c>
      <c r="G21" s="9" t="n">
        <v>-700</v>
      </c>
      <c r="H21" s="9" t="n">
        <v>-4000</v>
      </c>
      <c r="I21" s="9" t="n">
        <v>-7000</v>
      </c>
      <c r="J21" s="9" t="n">
        <v>-10000</v>
      </c>
    </row>
    <row r="22">
      <c r="A22" s="8" t="inlineStr">
        <is>
          <t>財務CF</t>
        </is>
      </c>
      <c r="B22" s="9" t="n">
        <v>-14</v>
      </c>
      <c r="C22" s="9" t="n">
        <v>184</v>
      </c>
      <c r="D22" s="9" t="n">
        <v>-18</v>
      </c>
      <c r="E22" s="9" t="n">
        <v>453</v>
      </c>
      <c r="F22" s="9" t="n">
        <v>3822</v>
      </c>
      <c r="G22" s="9" t="n">
        <v>8000</v>
      </c>
      <c r="H22" s="9" t="n">
        <v>15000</v>
      </c>
      <c r="I22" s="9" t="n">
        <v>50000</v>
      </c>
      <c r="J22" s="9" t="n">
        <v>50000</v>
      </c>
    </row>
    <row r="23">
      <c r="A23" s="5" t="inlineStr">
        <is>
          <t>KPI（台数）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8" t="inlineStr">
        <is>
          <t>累計予約台数</t>
        </is>
      </c>
      <c r="B24" s="14" t="n">
        <v>1</v>
      </c>
      <c r="C24" s="14" t="n">
        <v>2</v>
      </c>
      <c r="D24" s="14" t="n">
        <v>2</v>
      </c>
      <c r="E24" s="14" t="n">
        <v>2</v>
      </c>
      <c r="F24" s="14" t="n">
        <v>4</v>
      </c>
      <c r="G24" s="14" t="n">
        <v>8</v>
      </c>
      <c r="H24" s="14" t="n">
        <v>32</v>
      </c>
      <c r="I24" s="14" t="n">
        <v>80</v>
      </c>
      <c r="J24" s="14" t="n">
        <v>128</v>
      </c>
    </row>
    <row r="25">
      <c r="A25" s="8" t="inlineStr">
        <is>
          <t>累計販売台数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6</v>
      </c>
      <c r="J25" s="14" t="n">
        <v>26</v>
      </c>
    </row>
    <row r="27">
      <c r="A27" s="2" t="inlineStr">
        <is>
          <t>※ 2023/5期～2025/5期の売上高には機体販売・メンテナンス・移動サービス以外のその他売上を含むため、内訳の合計と一致しません。</t>
        </is>
      </c>
    </row>
    <row r="28">
      <c r="A28" s="2" t="inlineStr">
        <is>
          <t>※ 売上高経常利益率は出典シートの記載値です（売上高が0の期は「-」表示）。</t>
        </is>
      </c>
    </row>
    <row r="29">
      <c r="A29" s="2" t="inlineStr">
        <is>
          <t>※ 各数値は出典シートの丸め値のため、表内の値どうしの加減算とは一致しない場合があります（助成金等の営業外収益は費用行に含まれません）。</t>
        </is>
      </c>
    </row>
    <row r="30">
      <c r="A30" s="2" t="inlineStr">
        <is>
          <t>出典：Googleスプレッドシート「数値計画_2026-05-15_NoguchiKumazawa編集用」シート「損益全体像グラフ（可視化用-短期）」（2026-07-21時点）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2026-07-21T05:36:07Z</dcterms:created>
  <dcterms:modified xsi:type="dcterms:W3CDTF">2026-07-21T05:36:07Z</dcterms:modified>
</cp:coreProperties>
</file>